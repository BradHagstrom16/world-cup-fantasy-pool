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<sst xmlns="http://schemas.openxmlformats.org/spreadsheetml/2006/main" uniqueCount="56">
  <si>
    <t>Country</t>
  </si>
  <si>
    <t>DraftKings</t>
  </si>
  <si>
    <t>FanDuel</t>
  </si>
  <si>
    <t>Caesars</t>
  </si>
  <si>
    <t>BetMGM</t>
  </si>
  <si>
    <t>Average</t>
  </si>
  <si>
    <t>Median</t>
  </si>
  <si>
    <t>Tier</t>
  </si>
  <si>
    <t>Spain</t>
  </si>
  <si>
    <t>England</t>
  </si>
  <si>
    <t>France</t>
  </si>
  <si>
    <t>Argentina</t>
  </si>
  <si>
    <t>Brazil</t>
  </si>
  <si>
    <t>Portugal</t>
  </si>
  <si>
    <t>Germany</t>
  </si>
  <si>
    <t>Netherlands</t>
  </si>
  <si>
    <t>Norway</t>
  </si>
  <si>
    <t>Belgium</t>
  </si>
  <si>
    <t>Colombia</t>
  </si>
  <si>
    <t>Japan</t>
  </si>
  <si>
    <t>Morocco</t>
  </si>
  <si>
    <t>Uruguay</t>
  </si>
  <si>
    <t>Mexico</t>
  </si>
  <si>
    <t>USA</t>
  </si>
  <si>
    <t>Ecuador</t>
  </si>
  <si>
    <t>Croatia</t>
  </si>
  <si>
    <t>Turkey</t>
  </si>
  <si>
    <t>Sweden</t>
  </si>
  <si>
    <t>Senegal</t>
  </si>
  <si>
    <t>Austria</t>
  </si>
  <si>
    <t>South Korea</t>
  </si>
  <si>
    <t>Paraguay</t>
  </si>
  <si>
    <t>Ghana</t>
  </si>
  <si>
    <t>Algeria</t>
  </si>
  <si>
    <t>Ivory Coast</t>
  </si>
  <si>
    <t>Egypt</t>
  </si>
  <si>
    <t>Scotland</t>
  </si>
  <si>
    <t>Canada</t>
  </si>
  <si>
    <t>Bosnia</t>
  </si>
  <si>
    <t>Czechia</t>
  </si>
  <si>
    <t>Switzerland</t>
  </si>
  <si>
    <t>Iran</t>
  </si>
  <si>
    <t>Australia</t>
  </si>
  <si>
    <t>South Africa</t>
  </si>
  <si>
    <t>DR Congo</t>
  </si>
  <si>
    <t>Panama</t>
  </si>
  <si>
    <t>Saudi Arabia</t>
  </si>
  <si>
    <t>Qatar</t>
  </si>
  <si>
    <t>New Zealand</t>
  </si>
  <si>
    <t>Iraq</t>
  </si>
  <si>
    <t>Uzbekistan</t>
  </si>
  <si>
    <t>Cape Verde</t>
  </si>
  <si>
    <t>Curacao</t>
  </si>
  <si>
    <t>Jordan</t>
  </si>
  <si>
    <t>Haiti</t>
  </si>
  <si>
    <t>Tunisia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</si>
</sst>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 showGridLines="0" defaultGridColor="1"/>
  </sheetViews>
  <sheetFormatPr defaultColWidth="12.6667" defaultRowHeight="15.75" customHeight="1" outlineLevelRow="0" outlineLevelCol="0"/>
  <cols>
    <col min="1" max="8" width="12.6719" style="1" customWidth="1"/>
    <col min="9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65" customHeight="1">
      <c r="A2" t="s" s="3">
        <v>8</v>
      </c>
      <c r="B2" s="4">
        <v>450</v>
      </c>
      <c r="C2" s="4">
        <v>440</v>
      </c>
      <c r="D2" s="4">
        <v>425</v>
      </c>
      <c r="E2" s="4">
        <v>450</v>
      </c>
      <c r="F2" s="4" cm="1">
        <f t="array" ref="F2">AVERAGE(B2:E2)</f>
        <v>441.25</v>
      </c>
      <c r="G2" s="4" cm="1">
        <f t="array" ref="G2">MEDIAN(B2:E2)</f>
        <v>445</v>
      </c>
      <c r="H2" s="4">
        <v>1</v>
      </c>
    </row>
    <row r="3" ht="13.65" customHeight="1">
      <c r="A3" t="s" s="3">
        <v>9</v>
      </c>
      <c r="B3" s="4">
        <v>600</v>
      </c>
      <c r="C3" s="4">
        <v>500</v>
      </c>
      <c r="D3" s="4">
        <v>625</v>
      </c>
      <c r="E3" s="4">
        <v>650</v>
      </c>
      <c r="F3" s="4" cm="1">
        <f t="array" ref="F3">AVERAGE(B3:E3)</f>
        <v>593.75</v>
      </c>
      <c r="G3" s="4" cm="1">
        <f t="array" ref="G3">MEDIAN(B3:E3)</f>
        <v>612.5</v>
      </c>
      <c r="H3" s="4">
        <v>1</v>
      </c>
    </row>
    <row r="4" ht="13.65" customHeight="1">
      <c r="A4" t="s" s="3">
        <v>10</v>
      </c>
      <c r="B4" s="4">
        <v>600</v>
      </c>
      <c r="C4" s="4">
        <v>600</v>
      </c>
      <c r="D4" s="4">
        <v>600</v>
      </c>
      <c r="E4" s="4">
        <v>550</v>
      </c>
      <c r="F4" s="4" cm="1">
        <f t="array" ref="F4">AVERAGE(B4:E4)</f>
        <v>587.5</v>
      </c>
      <c r="G4" s="4" cm="1">
        <f t="array" ref="G4">MEDIAN(B4:E4)</f>
        <v>600</v>
      </c>
      <c r="H4" s="4">
        <v>1</v>
      </c>
    </row>
    <row r="5" ht="13.65" customHeight="1">
      <c r="A5" t="s" s="3">
        <v>11</v>
      </c>
      <c r="B5" s="4">
        <v>850</v>
      </c>
      <c r="C5" s="4">
        <v>750</v>
      </c>
      <c r="D5" s="4">
        <v>850</v>
      </c>
      <c r="E5" s="4">
        <v>800</v>
      </c>
      <c r="F5" s="4" cm="1">
        <f t="array" ref="F5">AVERAGE(B5:E5)</f>
        <v>812.5</v>
      </c>
      <c r="G5" s="4" cm="1">
        <f t="array" ref="G5">MEDIAN(B5:E5)</f>
        <v>825</v>
      </c>
      <c r="H5" s="4">
        <v>1</v>
      </c>
    </row>
    <row r="6" ht="13.65" customHeight="1">
      <c r="A6" t="s" s="3">
        <v>12</v>
      </c>
      <c r="B6" s="4">
        <v>850</v>
      </c>
      <c r="C6" s="4">
        <v>750</v>
      </c>
      <c r="D6" s="4">
        <v>850</v>
      </c>
      <c r="E6" s="4">
        <v>800</v>
      </c>
      <c r="F6" s="4" cm="1">
        <f t="array" ref="F6">AVERAGE(B6:E6)</f>
        <v>812.5</v>
      </c>
      <c r="G6" s="4" cm="1">
        <f t="array" ref="G6">MEDIAN(B6:E6)</f>
        <v>825</v>
      </c>
      <c r="H6" s="4">
        <v>1</v>
      </c>
    </row>
    <row r="7" ht="13.65" customHeight="1">
      <c r="A7" t="s" s="3">
        <v>13</v>
      </c>
      <c r="B7" s="4">
        <v>1100</v>
      </c>
      <c r="C7" s="4">
        <v>1100</v>
      </c>
      <c r="D7" s="4">
        <v>1100</v>
      </c>
      <c r="E7" s="4">
        <v>1000</v>
      </c>
      <c r="F7" s="4" cm="1">
        <f t="array" ref="F7">AVERAGE(B7:E7)</f>
        <v>1075</v>
      </c>
      <c r="G7" s="4" cm="1">
        <f t="array" ref="G7">MEDIAN(B7:E7)</f>
        <v>1100</v>
      </c>
      <c r="H7" s="4">
        <v>1</v>
      </c>
    </row>
    <row r="8" ht="13.65" customHeight="1">
      <c r="A8" t="s" s="3">
        <v>14</v>
      </c>
      <c r="B8" s="4">
        <v>1400</v>
      </c>
      <c r="C8" s="4">
        <v>1100</v>
      </c>
      <c r="D8" s="4">
        <v>1200</v>
      </c>
      <c r="E8" s="4">
        <v>1400</v>
      </c>
      <c r="F8" s="4" cm="1">
        <f t="array" ref="F8">AVERAGE(B8:E8)</f>
        <v>1275</v>
      </c>
      <c r="G8" s="4" cm="1">
        <f t="array" ref="G8">MEDIAN(B8:E8)</f>
        <v>1300</v>
      </c>
      <c r="H8" s="4">
        <v>1</v>
      </c>
    </row>
    <row r="9" ht="13.65" customHeight="1">
      <c r="A9" t="s" s="3">
        <v>15</v>
      </c>
      <c r="B9" s="4">
        <v>2000</v>
      </c>
      <c r="C9" s="4">
        <v>1900</v>
      </c>
      <c r="D9" s="4">
        <v>2200</v>
      </c>
      <c r="E9" s="4">
        <v>2000</v>
      </c>
      <c r="F9" s="4" cm="1">
        <f t="array" ref="F9">AVERAGE(B9:E9)</f>
        <v>2025</v>
      </c>
      <c r="G9" s="4" cm="1">
        <f t="array" ref="G9">MEDIAN(B9:E9)</f>
        <v>2000</v>
      </c>
      <c r="H9" s="5"/>
    </row>
    <row r="10" ht="13.65" customHeight="1">
      <c r="A10" t="s" s="3">
        <v>16</v>
      </c>
      <c r="B10" s="4">
        <v>2800</v>
      </c>
      <c r="C10" s="4">
        <v>2200</v>
      </c>
      <c r="D10" s="4">
        <v>3000</v>
      </c>
      <c r="E10" s="4">
        <v>2500</v>
      </c>
      <c r="F10" s="4" cm="1">
        <f t="array" ref="F10">AVERAGE(B10:E10)</f>
        <v>2625</v>
      </c>
      <c r="G10" s="4" cm="1">
        <f t="array" ref="G10">MEDIAN(B10:E10)</f>
        <v>2650</v>
      </c>
      <c r="H10" s="5"/>
    </row>
    <row r="11" ht="13.65" customHeight="1">
      <c r="A11" t="s" s="3">
        <v>17</v>
      </c>
      <c r="B11" s="4">
        <v>3500</v>
      </c>
      <c r="C11" s="4">
        <v>3000</v>
      </c>
      <c r="D11" s="4">
        <v>3500</v>
      </c>
      <c r="E11" s="4">
        <v>3300</v>
      </c>
      <c r="F11" s="4" cm="1">
        <f t="array" ref="F11">AVERAGE(B11:E11)</f>
        <v>3325</v>
      </c>
      <c r="G11" s="4" cm="1">
        <f t="array" ref="G11">MEDIAN(B11:E11)</f>
        <v>3400</v>
      </c>
      <c r="H11" s="5"/>
    </row>
    <row r="12" ht="13.65" customHeight="1">
      <c r="A12" t="s" s="3">
        <v>18</v>
      </c>
      <c r="B12" s="4">
        <v>4000</v>
      </c>
      <c r="C12" s="4">
        <v>4000</v>
      </c>
      <c r="D12" s="4">
        <v>4000</v>
      </c>
      <c r="E12" s="4">
        <v>4000</v>
      </c>
      <c r="F12" s="4" cm="1">
        <f t="array" ref="F12">AVERAGE(B12:E12)</f>
        <v>4000</v>
      </c>
      <c r="G12" s="4" cm="1">
        <f t="array" ref="G12">MEDIAN(B12:E12)</f>
        <v>4000</v>
      </c>
      <c r="H12" s="5"/>
    </row>
    <row r="13" ht="13.65" customHeight="1">
      <c r="A13" t="s" s="3">
        <v>19</v>
      </c>
      <c r="B13" s="4">
        <v>5000</v>
      </c>
      <c r="C13" s="4">
        <v>5500</v>
      </c>
      <c r="D13" s="4">
        <v>7500</v>
      </c>
      <c r="E13" s="4">
        <v>5000</v>
      </c>
      <c r="F13" s="4" cm="1">
        <f t="array" ref="F13">AVERAGE(B13:E13)</f>
        <v>5750</v>
      </c>
      <c r="G13" s="4" cm="1">
        <f t="array" ref="G13">MEDIAN(B13:E13)</f>
        <v>5250</v>
      </c>
      <c r="H13" s="5"/>
    </row>
    <row r="14" ht="13.65" customHeight="1">
      <c r="A14" t="s" s="3">
        <v>20</v>
      </c>
      <c r="B14" s="4">
        <v>6000</v>
      </c>
      <c r="C14" s="4">
        <v>4000</v>
      </c>
      <c r="D14" s="4">
        <v>6000</v>
      </c>
      <c r="E14" s="4">
        <v>6600</v>
      </c>
      <c r="F14" s="4" cm="1">
        <f t="array" ref="F14">AVERAGE(B14:E14)</f>
        <v>5650</v>
      </c>
      <c r="G14" s="4" cm="1">
        <f t="array" ref="G14">MEDIAN(B14:E14)</f>
        <v>6000</v>
      </c>
      <c r="H14" s="5"/>
    </row>
    <row r="15" ht="13.65" customHeight="1">
      <c r="A15" t="s" s="3">
        <v>21</v>
      </c>
      <c r="B15" s="4">
        <v>6500</v>
      </c>
      <c r="C15" s="4">
        <v>6500</v>
      </c>
      <c r="D15" s="4">
        <v>5000</v>
      </c>
      <c r="E15" s="4">
        <v>5000</v>
      </c>
      <c r="F15" s="4" cm="1">
        <f t="array" ref="F15">AVERAGE(B15:E15)</f>
        <v>5750</v>
      </c>
      <c r="G15" s="4" cm="1">
        <f t="array" ref="G15">MEDIAN(B15:E15)</f>
        <v>5750</v>
      </c>
      <c r="H15" s="5"/>
    </row>
    <row r="16" ht="13.65" customHeight="1">
      <c r="A16" t="s" s="3">
        <v>22</v>
      </c>
      <c r="B16" s="4">
        <v>7000</v>
      </c>
      <c r="C16" s="4">
        <v>6500</v>
      </c>
      <c r="D16" s="4">
        <v>5000</v>
      </c>
      <c r="E16" s="4">
        <v>6600</v>
      </c>
      <c r="F16" s="4" cm="1">
        <f t="array" ref="F16">AVERAGE(B16:E16)</f>
        <v>6275</v>
      </c>
      <c r="G16" s="4" cm="1">
        <f t="array" ref="G16">MEDIAN(B16:E16)</f>
        <v>6550</v>
      </c>
      <c r="H16" s="5"/>
    </row>
    <row r="17" ht="13.65" customHeight="1">
      <c r="A17" t="s" s="3">
        <v>23</v>
      </c>
      <c r="B17" s="4">
        <v>6500</v>
      </c>
      <c r="C17" s="4">
        <v>5500</v>
      </c>
      <c r="D17" s="4">
        <v>5000</v>
      </c>
      <c r="E17" s="4">
        <v>4000</v>
      </c>
      <c r="F17" s="4" cm="1">
        <f t="array" ref="F17">AVERAGE(B17:E17)</f>
        <v>5250</v>
      </c>
      <c r="G17" s="4" cm="1">
        <f t="array" ref="G17">MEDIAN(B17:E17)</f>
        <v>5250</v>
      </c>
      <c r="H17" s="5"/>
    </row>
    <row r="18" ht="13.65" customHeight="1">
      <c r="A18" t="s" s="3">
        <v>24</v>
      </c>
      <c r="B18" s="4">
        <v>8000</v>
      </c>
      <c r="C18" s="4">
        <v>8000</v>
      </c>
      <c r="D18" s="4">
        <v>7500</v>
      </c>
      <c r="E18" s="4">
        <v>6600</v>
      </c>
      <c r="F18" s="4" cm="1">
        <f t="array" ref="F18">AVERAGE(B18:E18)</f>
        <v>7525</v>
      </c>
      <c r="G18" s="4" cm="1">
        <f t="array" ref="G18">MEDIAN(B18:E18)</f>
        <v>7750</v>
      </c>
      <c r="H18" s="5"/>
    </row>
    <row r="19" ht="13.65" customHeight="1">
      <c r="A19" t="s" s="3">
        <v>25</v>
      </c>
      <c r="B19" s="4">
        <v>9000</v>
      </c>
      <c r="C19" s="4">
        <v>8000</v>
      </c>
      <c r="D19" s="4">
        <v>7500</v>
      </c>
      <c r="E19" s="4">
        <v>6600</v>
      </c>
      <c r="F19" s="4" cm="1">
        <f t="array" ref="F19">AVERAGE(B19:E19)</f>
        <v>7775</v>
      </c>
      <c r="G19" s="4" cm="1">
        <f t="array" ref="G19">MEDIAN(B19:E19)</f>
        <v>7750</v>
      </c>
      <c r="H19" s="5"/>
    </row>
    <row r="20" ht="13.65" customHeight="1">
      <c r="A20" t="s" s="3">
        <v>26</v>
      </c>
      <c r="B20" s="4">
        <v>6500</v>
      </c>
      <c r="C20" s="4">
        <v>8000</v>
      </c>
      <c r="D20" s="4">
        <v>7500</v>
      </c>
      <c r="E20" s="4">
        <v>6600</v>
      </c>
      <c r="F20" s="4" cm="1">
        <f t="array" ref="F20">AVERAGE(B20:E20)</f>
        <v>7150</v>
      </c>
      <c r="G20" s="4" cm="1">
        <f t="array" ref="G20">MEDIAN(B20:E20)</f>
        <v>7050</v>
      </c>
      <c r="H20" s="5"/>
    </row>
    <row r="21" ht="13.65" customHeight="1">
      <c r="A21" t="s" s="3">
        <v>27</v>
      </c>
      <c r="B21" s="4">
        <v>8000</v>
      </c>
      <c r="C21" s="4">
        <v>8000</v>
      </c>
      <c r="D21" s="4">
        <v>7500</v>
      </c>
      <c r="E21" s="4">
        <v>6600</v>
      </c>
      <c r="F21" s="4" cm="1">
        <f t="array" ref="F21">AVERAGE(B21:E21)</f>
        <v>7525</v>
      </c>
      <c r="G21" s="4" cm="1">
        <f t="array" ref="G21">MEDIAN(B21:E21)</f>
        <v>7750</v>
      </c>
      <c r="H21" s="5"/>
    </row>
    <row r="22" ht="13.65" customHeight="1">
      <c r="A22" t="s" s="3">
        <v>28</v>
      </c>
      <c r="B22" s="4">
        <v>10000</v>
      </c>
      <c r="C22" s="4">
        <v>8000</v>
      </c>
      <c r="D22" s="4">
        <v>12500</v>
      </c>
      <c r="E22" s="4">
        <v>6600</v>
      </c>
      <c r="F22" s="4" cm="1">
        <f t="array" ref="F22">AVERAGE(B22:E22)</f>
        <v>9275</v>
      </c>
      <c r="G22" s="4" cm="1">
        <f t="array" ref="G22">MEDIAN(B22:E22)</f>
        <v>9000</v>
      </c>
      <c r="H22" s="5"/>
    </row>
    <row r="23" ht="13.65" customHeight="1">
      <c r="A23" t="s" s="3">
        <v>29</v>
      </c>
      <c r="B23" s="4">
        <v>15000</v>
      </c>
      <c r="C23" s="4">
        <v>10000</v>
      </c>
      <c r="D23" s="4">
        <v>15000</v>
      </c>
      <c r="E23" s="4">
        <v>10000</v>
      </c>
      <c r="F23" s="4" cm="1">
        <f t="array" ref="F23">AVERAGE(B23:E23)</f>
        <v>12500</v>
      </c>
      <c r="G23" s="4" cm="1">
        <f t="array" ref="G23">MEDIAN(B23:E23)</f>
        <v>12500</v>
      </c>
      <c r="H23" s="5"/>
    </row>
    <row r="24" ht="13.65" customHeight="1">
      <c r="A24" t="s" s="3">
        <v>30</v>
      </c>
      <c r="B24" s="4">
        <v>35000</v>
      </c>
      <c r="C24" s="4">
        <v>30000</v>
      </c>
      <c r="D24" s="4">
        <v>25000</v>
      </c>
      <c r="E24" s="4">
        <v>25000</v>
      </c>
      <c r="F24" s="4" cm="1">
        <f t="array" ref="F24">AVERAGE(B24:E24)</f>
        <v>28750</v>
      </c>
      <c r="G24" s="4" cm="1">
        <f t="array" ref="G24">MEDIAN(B24:E24)</f>
        <v>27500</v>
      </c>
      <c r="H24" s="5"/>
    </row>
    <row r="25" ht="13.65" customHeight="1">
      <c r="A25" t="s" s="3">
        <v>31</v>
      </c>
      <c r="B25" s="4">
        <v>20000</v>
      </c>
      <c r="C25" s="4">
        <v>10000</v>
      </c>
      <c r="D25" s="4">
        <v>20000</v>
      </c>
      <c r="E25" s="4">
        <v>15000</v>
      </c>
      <c r="F25" s="4" cm="1">
        <f t="array" ref="F25">AVERAGE(B25:E25)</f>
        <v>16250</v>
      </c>
      <c r="G25" s="4" cm="1">
        <f t="array" ref="G25">MEDIAN(B25:E25)</f>
        <v>17500</v>
      </c>
      <c r="H25" s="5"/>
    </row>
    <row r="26" ht="13.65" customHeight="1">
      <c r="A26" t="s" s="3">
        <v>32</v>
      </c>
      <c r="B26" s="4">
        <v>30000</v>
      </c>
      <c r="C26" s="4">
        <v>22500</v>
      </c>
      <c r="D26" s="4">
        <v>25000</v>
      </c>
      <c r="E26" s="4">
        <v>25000</v>
      </c>
      <c r="F26" s="4" cm="1">
        <f t="array" ref="F26">AVERAGE(B26:E26)</f>
        <v>25625</v>
      </c>
      <c r="G26" s="4" cm="1">
        <f t="array" ref="G26">MEDIAN(B26:E26)</f>
        <v>25000</v>
      </c>
      <c r="H26" s="5"/>
    </row>
    <row r="27" ht="13.65" customHeight="1">
      <c r="A27" t="s" s="3">
        <v>33</v>
      </c>
      <c r="B27" s="4">
        <v>35000</v>
      </c>
      <c r="C27" s="4">
        <v>22500</v>
      </c>
      <c r="D27" s="4">
        <v>25000</v>
      </c>
      <c r="E27" s="4">
        <v>25000</v>
      </c>
      <c r="F27" s="4" cm="1">
        <f t="array" ref="F27">AVERAGE(B27:E27)</f>
        <v>26875</v>
      </c>
      <c r="G27" s="4" cm="1">
        <f t="array" ref="G27">MEDIAN(B27:E27)</f>
        <v>25000</v>
      </c>
      <c r="H27" s="5"/>
    </row>
    <row r="28" ht="13.65" customHeight="1">
      <c r="A28" t="s" s="3">
        <v>34</v>
      </c>
      <c r="B28" s="4">
        <v>25000</v>
      </c>
      <c r="C28" s="4">
        <v>17500</v>
      </c>
      <c r="D28" s="4">
        <v>25000</v>
      </c>
      <c r="E28" s="4">
        <v>20000</v>
      </c>
      <c r="F28" s="4" cm="1">
        <f t="array" ref="F28">AVERAGE(B28:E28)</f>
        <v>21875</v>
      </c>
      <c r="G28" s="4" cm="1">
        <f t="array" ref="G28">MEDIAN(B28:E28)</f>
        <v>22500</v>
      </c>
      <c r="H28" s="5"/>
    </row>
    <row r="29" ht="13.65" customHeight="1">
      <c r="A29" t="s" s="3">
        <v>35</v>
      </c>
      <c r="B29" s="4">
        <v>30000</v>
      </c>
      <c r="C29" s="4">
        <v>17500</v>
      </c>
      <c r="D29" s="4">
        <v>25000</v>
      </c>
      <c r="E29" s="4">
        <v>25000</v>
      </c>
      <c r="F29" s="4" cm="1">
        <f t="array" ref="F29">AVERAGE(B29:E29)</f>
        <v>24375</v>
      </c>
      <c r="G29" s="4" cm="1">
        <f t="array" ref="G29">MEDIAN(B29:E29)</f>
        <v>25000</v>
      </c>
      <c r="H29" s="5"/>
    </row>
    <row r="30" ht="13.65" customHeight="1">
      <c r="A30" t="s" s="3">
        <v>36</v>
      </c>
      <c r="B30" s="4">
        <v>20000</v>
      </c>
      <c r="C30" s="4">
        <v>15000</v>
      </c>
      <c r="D30" s="4">
        <v>25000</v>
      </c>
      <c r="E30" s="4">
        <v>25000</v>
      </c>
      <c r="F30" s="4" cm="1">
        <f t="array" ref="F30">AVERAGE(B30:E30)</f>
        <v>21250</v>
      </c>
      <c r="G30" s="4" cm="1">
        <f t="array" ref="G30">MEDIAN(B30:E30)</f>
        <v>22500</v>
      </c>
      <c r="H30" s="5"/>
    </row>
    <row r="31" ht="13.65" customHeight="1">
      <c r="A31" t="s" s="3">
        <v>37</v>
      </c>
      <c r="B31" s="4">
        <v>20000</v>
      </c>
      <c r="C31" s="4">
        <v>15000</v>
      </c>
      <c r="D31" s="4">
        <v>12500</v>
      </c>
      <c r="E31" s="4">
        <v>15000</v>
      </c>
      <c r="F31" s="4" cm="1">
        <f t="array" ref="F31">AVERAGE(B31:E31)</f>
        <v>15625</v>
      </c>
      <c r="G31" s="4" cm="1">
        <f t="array" ref="G31">MEDIAN(B31:E31)</f>
        <v>15000</v>
      </c>
      <c r="H31" s="5"/>
    </row>
    <row r="32" ht="13.65" customHeight="1">
      <c r="A32" t="s" s="3">
        <v>38</v>
      </c>
      <c r="B32" s="4">
        <v>25000</v>
      </c>
      <c r="C32" s="4">
        <v>30000</v>
      </c>
      <c r="D32" s="4">
        <v>25000</v>
      </c>
      <c r="E32" s="4">
        <v>25000</v>
      </c>
      <c r="F32" s="4" cm="1">
        <f t="array" ref="F32">AVERAGE(B32:E32)</f>
        <v>26250</v>
      </c>
      <c r="G32" s="4" cm="1">
        <f t="array" ref="G32">MEDIAN(B32:E32)</f>
        <v>25000</v>
      </c>
      <c r="H32" s="5"/>
    </row>
    <row r="33" ht="13.65" customHeight="1">
      <c r="A33" t="s" s="3">
        <v>39</v>
      </c>
      <c r="B33" s="4">
        <v>15000</v>
      </c>
      <c r="C33" s="4">
        <v>17500</v>
      </c>
      <c r="D33" s="4">
        <v>20000</v>
      </c>
      <c r="E33" s="4">
        <v>20000</v>
      </c>
      <c r="F33" s="4" cm="1">
        <f t="array" ref="F33">AVERAGE(B33:E33)</f>
        <v>18125</v>
      </c>
      <c r="G33" s="4" cm="1">
        <f t="array" ref="G33">MEDIAN(B33:E33)</f>
        <v>18750</v>
      </c>
      <c r="H33" s="5"/>
    </row>
    <row r="34" ht="13.65" customHeight="1">
      <c r="A34" t="s" s="3">
        <v>40</v>
      </c>
      <c r="B34" s="4">
        <v>10000</v>
      </c>
      <c r="C34" s="4">
        <v>6500</v>
      </c>
      <c r="D34" s="4">
        <v>5000</v>
      </c>
      <c r="E34" s="4">
        <v>6600</v>
      </c>
      <c r="F34" s="4" cm="1">
        <f t="array" ref="F34">AVERAGE(B34:E34)</f>
        <v>7025</v>
      </c>
      <c r="G34" s="4" cm="1">
        <f t="array" ref="G34">MEDIAN(B34:E34)</f>
        <v>6550</v>
      </c>
      <c r="H34" s="5"/>
    </row>
    <row r="35" ht="13.65" customHeight="1">
      <c r="A35" t="s" s="3">
        <v>41</v>
      </c>
      <c r="B35" s="4">
        <v>30000</v>
      </c>
      <c r="C35" s="4">
        <v>30000</v>
      </c>
      <c r="D35" s="4">
        <v>50000</v>
      </c>
      <c r="E35" s="4">
        <v>50000</v>
      </c>
      <c r="F35" s="4" cm="1">
        <f t="array" ref="F35">AVERAGE(B35:E35)</f>
        <v>40000</v>
      </c>
      <c r="G35" s="4" cm="1">
        <f t="array" ref="G35">MEDIAN(B35:E35)</f>
        <v>40000</v>
      </c>
      <c r="H35" s="5"/>
    </row>
    <row r="36" ht="13.65" customHeight="1">
      <c r="A36" t="s" s="3">
        <v>42</v>
      </c>
      <c r="B36" s="4">
        <v>45000</v>
      </c>
      <c r="C36" s="4">
        <v>30000</v>
      </c>
      <c r="D36" s="4">
        <v>50000</v>
      </c>
      <c r="E36" s="4">
        <v>50000</v>
      </c>
      <c r="F36" s="4" cm="1">
        <f t="array" ref="F36">AVERAGE(B36:E36)</f>
        <v>43750</v>
      </c>
      <c r="G36" s="4" cm="1">
        <f t="array" ref="G36">MEDIAN(B36:E36)</f>
        <v>47500</v>
      </c>
      <c r="H36" s="5"/>
    </row>
    <row r="37" ht="13.65" customHeight="1">
      <c r="A37" t="s" s="3">
        <v>43</v>
      </c>
      <c r="B37" s="4">
        <v>80000</v>
      </c>
      <c r="C37" s="4">
        <v>50000</v>
      </c>
      <c r="D37" s="4">
        <v>100000</v>
      </c>
      <c r="E37" s="4">
        <v>100000</v>
      </c>
      <c r="F37" s="4" cm="1">
        <f t="array" ref="F37">AVERAGE(B37:E37)</f>
        <v>82500</v>
      </c>
      <c r="G37" s="4" cm="1">
        <f t="array" ref="G37">MEDIAN(B37:E37)</f>
        <v>90000</v>
      </c>
      <c r="H37" s="5"/>
    </row>
    <row r="38" ht="13.65" customHeight="1">
      <c r="A38" t="s" s="3">
        <v>44</v>
      </c>
      <c r="B38" s="4">
        <v>70000</v>
      </c>
      <c r="C38" s="4">
        <v>40000</v>
      </c>
      <c r="D38" s="4">
        <v>75000</v>
      </c>
      <c r="E38" s="4">
        <v>75000</v>
      </c>
      <c r="F38" s="4" cm="1">
        <f t="array" ref="F38">AVERAGE(B38:E38)</f>
        <v>65000</v>
      </c>
      <c r="G38" s="4" cm="1">
        <f t="array" ref="G38">MEDIAN(B38:E38)</f>
        <v>72500</v>
      </c>
      <c r="H38" s="5"/>
    </row>
    <row r="39" ht="13.65" customHeight="1">
      <c r="A39" t="s" s="3">
        <v>45</v>
      </c>
      <c r="B39" s="4">
        <v>100000</v>
      </c>
      <c r="C39" s="4">
        <v>50000</v>
      </c>
      <c r="D39" s="4">
        <v>100000</v>
      </c>
      <c r="E39" s="4">
        <v>100000</v>
      </c>
      <c r="F39" s="4" cm="1">
        <f t="array" ref="F39">AVERAGE(B39:E39)</f>
        <v>87500</v>
      </c>
      <c r="G39" s="4" cm="1">
        <f t="array" ref="G39">MEDIAN(B39:E39)</f>
        <v>100000</v>
      </c>
      <c r="H39" s="5"/>
    </row>
    <row r="40" ht="13.65" customHeight="1">
      <c r="A40" t="s" s="3">
        <v>46</v>
      </c>
      <c r="B40" s="4">
        <v>100000</v>
      </c>
      <c r="C40" s="4">
        <v>50000</v>
      </c>
      <c r="D40" s="4">
        <v>75000</v>
      </c>
      <c r="E40" s="4">
        <v>100000</v>
      </c>
      <c r="F40" s="4" cm="1">
        <f t="array" ref="F40">AVERAGE(B40:E40)</f>
        <v>81250</v>
      </c>
      <c r="G40" s="4" cm="1">
        <f t="array" ref="G40">MEDIAN(B40:E40)</f>
        <v>87500</v>
      </c>
      <c r="H40" s="5"/>
    </row>
    <row r="41" ht="13.65" customHeight="1">
      <c r="A41" t="s" s="3">
        <v>47</v>
      </c>
      <c r="B41" s="4">
        <v>100000</v>
      </c>
      <c r="C41" s="4">
        <v>50000</v>
      </c>
      <c r="D41" s="4">
        <v>100000</v>
      </c>
      <c r="E41" s="4">
        <v>100000</v>
      </c>
      <c r="F41" s="4" cm="1">
        <f t="array" ref="F41">AVERAGE(B41:E41)</f>
        <v>87500</v>
      </c>
      <c r="G41" s="4" cm="1">
        <f t="array" ref="G41">MEDIAN(B41:E41)</f>
        <v>100000</v>
      </c>
      <c r="H41" s="5"/>
    </row>
    <row r="42" ht="13.65" customHeight="1">
      <c r="A42" t="s" s="3">
        <v>48</v>
      </c>
      <c r="B42" s="4">
        <v>100000</v>
      </c>
      <c r="C42" s="4">
        <v>50000</v>
      </c>
      <c r="D42" s="4">
        <v>200000</v>
      </c>
      <c r="E42" s="4">
        <v>100000</v>
      </c>
      <c r="F42" s="4" cm="1">
        <f t="array" ref="F42">AVERAGE(B42:E42)</f>
        <v>112500</v>
      </c>
      <c r="G42" s="4" cm="1">
        <f t="array" ref="G42">MEDIAN(B42:E42)</f>
        <v>100000</v>
      </c>
      <c r="H42" s="5"/>
    </row>
    <row r="43" ht="13.65" customHeight="1">
      <c r="A43" t="s" s="3">
        <v>49</v>
      </c>
      <c r="B43" s="4">
        <v>100000</v>
      </c>
      <c r="C43" s="4">
        <v>50000</v>
      </c>
      <c r="D43" s="4">
        <v>100000</v>
      </c>
      <c r="E43" s="4">
        <v>100000</v>
      </c>
      <c r="F43" s="4" cm="1">
        <f t="array" ref="F43">AVERAGE(B43:E43)</f>
        <v>87500</v>
      </c>
      <c r="G43" s="4" cm="1">
        <f t="array" ref="G43">MEDIAN(B43:E43)</f>
        <v>100000</v>
      </c>
      <c r="H43" s="5"/>
    </row>
    <row r="44" ht="13.65" customHeight="1">
      <c r="A44" t="s" s="3">
        <v>50</v>
      </c>
      <c r="B44" s="4">
        <v>150000</v>
      </c>
      <c r="C44" s="4">
        <v>50000</v>
      </c>
      <c r="D44" s="4">
        <v>200000</v>
      </c>
      <c r="E44" s="4">
        <v>100000</v>
      </c>
      <c r="F44" s="4" cm="1">
        <f t="array" ref="F44">AVERAGE(B44:E44)</f>
        <v>125000</v>
      </c>
      <c r="G44" s="4" cm="1">
        <f t="array" ref="G44">MEDIAN(B44:E44)</f>
        <v>125000</v>
      </c>
      <c r="H44" s="5"/>
    </row>
    <row r="45" ht="13.65" customHeight="1">
      <c r="A45" t="s" s="3">
        <v>51</v>
      </c>
      <c r="B45" s="4">
        <v>100000</v>
      </c>
      <c r="C45" s="4">
        <v>50000</v>
      </c>
      <c r="D45" s="4">
        <v>200000</v>
      </c>
      <c r="E45" s="4">
        <v>100000</v>
      </c>
      <c r="F45" s="4" cm="1">
        <f t="array" ref="F45">AVERAGE(B45:E45)</f>
        <v>112500</v>
      </c>
      <c r="G45" s="4" cm="1">
        <f t="array" ref="G45">MEDIAN(B45:E45)</f>
        <v>100000</v>
      </c>
      <c r="H45" s="5"/>
    </row>
    <row r="46" ht="13.65" customHeight="1">
      <c r="A46" t="s" s="3">
        <v>52</v>
      </c>
      <c r="B46" s="4">
        <v>150000</v>
      </c>
      <c r="C46" s="4">
        <v>50000</v>
      </c>
      <c r="D46" s="4">
        <v>250000</v>
      </c>
      <c r="E46" s="4">
        <v>250000</v>
      </c>
      <c r="F46" s="4" cm="1">
        <f t="array" ref="F46">AVERAGE(B46:E46)</f>
        <v>175000</v>
      </c>
      <c r="G46" s="4" cm="1">
        <f t="array" ref="G46">MEDIAN(B46:E46)</f>
        <v>200000</v>
      </c>
      <c r="H46" s="5"/>
    </row>
    <row r="47" ht="13.65" customHeight="1">
      <c r="A47" t="s" s="3">
        <v>53</v>
      </c>
      <c r="B47" s="4">
        <v>150000</v>
      </c>
      <c r="C47" s="4">
        <v>50000</v>
      </c>
      <c r="D47" s="4">
        <v>250000</v>
      </c>
      <c r="E47" s="4">
        <v>100000</v>
      </c>
      <c r="F47" s="4" cm="1">
        <f t="array" ref="F47">AVERAGE(B47:E47)</f>
        <v>137500</v>
      </c>
      <c r="G47" s="4" cm="1">
        <f t="array" ref="G47">MEDIAN(B47:E47)</f>
        <v>125000</v>
      </c>
      <c r="H47" s="5"/>
    </row>
    <row r="48" ht="13.65" customHeight="1">
      <c r="A48" t="s" s="3">
        <v>54</v>
      </c>
      <c r="B48" s="4">
        <v>150000</v>
      </c>
      <c r="C48" s="4">
        <v>50000</v>
      </c>
      <c r="D48" s="4">
        <v>250000</v>
      </c>
      <c r="E48" s="4">
        <v>250000</v>
      </c>
      <c r="F48" s="4" cm="1">
        <f t="array" ref="F48">AVERAGE(B48:E48)</f>
        <v>175000</v>
      </c>
      <c r="G48" s="4" cm="1">
        <f t="array" ref="G48">MEDIAN(B48:E48)</f>
        <v>200000</v>
      </c>
      <c r="H48" s="5"/>
    </row>
    <row r="49" ht="13.65" customHeight="1">
      <c r="A49" t="s" s="3">
        <v>55</v>
      </c>
      <c r="B49" s="4">
        <v>50000</v>
      </c>
      <c r="C49" s="4">
        <v>30000</v>
      </c>
      <c r="D49" s="4">
        <v>50000</v>
      </c>
      <c r="E49" s="4">
        <v>50000</v>
      </c>
      <c r="F49" s="4" cm="1">
        <f t="array" ref="F49">AVERAGE(B49:E49)</f>
        <v>45000</v>
      </c>
      <c r="G49" s="4" cm="1">
        <f t="array" ref="G49">MEDIAN(B49:E49)</f>
        <v>50000</v>
      </c>
      <c r="H49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